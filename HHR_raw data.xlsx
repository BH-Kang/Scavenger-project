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b\Simulations\"/>
    </mc:Choice>
  </mc:AlternateContent>
  <xr:revisionPtr revIDLastSave="0" documentId="13_ncr:1_{075CA760-8EFE-4E1C-B048-A9923972A5B8}" xr6:coauthVersionLast="47" xr6:coauthVersionMax="47" xr10:uidLastSave="{00000000-0000-0000-0000-000000000000}"/>
  <bookViews>
    <workbookView xWindow="43080" yWindow="-120" windowWidth="29040" windowHeight="15720" xr2:uid="{C82776CB-E205-4789-8379-95F44AD3D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  <c r="E3" i="1"/>
  <c r="E4" i="1"/>
  <c r="E5" i="1"/>
  <c r="E6" i="1"/>
  <c r="E7" i="1"/>
  <c r="E8" i="1"/>
  <c r="E9" i="1"/>
  <c r="E10" i="1"/>
  <c r="E11" i="1"/>
  <c r="E12" i="1"/>
  <c r="E2" i="1"/>
  <c r="D3" i="1"/>
  <c r="D4" i="1"/>
  <c r="D5" i="1"/>
  <c r="D6" i="1"/>
  <c r="D7" i="1"/>
  <c r="D8" i="1"/>
  <c r="D9" i="1"/>
  <c r="D10" i="1"/>
  <c r="D11" i="1"/>
  <c r="D12" i="1"/>
  <c r="D2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<sst xmlns="http://schemas.openxmlformats.org/spreadsheetml/2006/main" count="7" uniqueCount="7">
  <si>
    <t>Experiment 1</t>
  </si>
  <si>
    <t>Experiment 2</t>
  </si>
  <si>
    <t>Average</t>
  </si>
  <si>
    <t>S.D.</t>
  </si>
  <si>
    <t>Time (min)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</si>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</sst>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DDB7-447C-465D-A46A-C97766E2AE00}">
  <dimension ref="B1:H12"/>
  <sheetViews>
    <sheetView tabSelected="1" workbookViewId="0">
      <selection activeCell="K12" sqref="K12"/>
    </sheetView>
  </sheetViews>
  <sheetFormatPr defaultColWidth="8.796875" defaultRowHeight="14.25" x14ac:dyDescent="0.45"/>
  <sheetData>
    <row r="1" spans="2:8" x14ac:dyDescent="0.45">
      <c r="B1" t="s">
        <v>4</v>
      </c>
      <c r="C1" t="s">
        <v>2</v>
      </c>
      <c r="D1" t="s">
        <v>3</v>
      </c>
      <c r="E1" t="s">
        <v>5</v>
      </c>
      <c r="F1" t="s">
        <v>6</v>
      </c>
      <c r="G1" t="s">
        <v>0</v>
      </c>
      <c r="H1" t="s">
        <v>1</v>
      </c>
    </row>
    <row r="2" spans="2:8" x14ac:dyDescent="0.45">
      <c r="B2">
        <v>0</v>
      </c>
      <c r="C2">
        <f>AVERAGE(G2:H2)</f>
        <v>0</v>
      </c>
      <c r="D2">
        <f>STDEV(G2:H2)</f>
        <v>0</v>
      </c>
      <c r="E2">
        <f>MIN(G2:H2)</f>
        <v>0</v>
      </c>
      <c r="F2">
        <f>MAX(G2:H2)</f>
        <v>0</v>
      </c>
      <c r="G2">
        <v>0</v>
      </c>
      <c r="H2">
        <v>0</v>
      </c>
    </row>
    <row r="3" spans="2:8" x14ac:dyDescent="0.45">
      <c r="B3">
        <v>30</v>
      </c>
      <c r="C3">
        <f t="shared" ref="C3:C12" si="0">AVERAGE(G3:H3)</f>
        <v>360.9927105798032</v>
      </c>
      <c r="D3">
        <f t="shared" ref="D3:D12" si="1">STDEV(G3:H3)</f>
        <v>18.168504578217004</v>
      </c>
      <c r="E3">
        <f t="shared" ref="E3:E12" si="2">MIN(G3:H3)</f>
        <v>348.14563778852715</v>
      </c>
      <c r="F3">
        <f t="shared" ref="F3:F12" si="3">MAX(G3:H3)</f>
        <v>373.83978337107931</v>
      </c>
      <c r="G3">
        <v>373.83978337107931</v>
      </c>
      <c r="H3">
        <v>348.14563778852715</v>
      </c>
    </row>
    <row r="4" spans="2:8" x14ac:dyDescent="0.45">
      <c r="B4">
        <v>60</v>
      </c>
      <c r="C4">
        <f t="shared" si="0"/>
        <v>580.63028681195647</v>
      </c>
      <c r="D4">
        <f t="shared" si="1"/>
        <v>11.360709117681024</v>
      </c>
      <c r="E4">
        <f t="shared" si="2"/>
        <v>572.59705235575643</v>
      </c>
      <c r="F4">
        <f t="shared" si="3"/>
        <v>588.66352126815661</v>
      </c>
      <c r="G4">
        <v>572.59705235575643</v>
      </c>
      <c r="H4">
        <v>588.66352126815661</v>
      </c>
    </row>
    <row r="5" spans="2:8" x14ac:dyDescent="0.45">
      <c r="B5">
        <v>90</v>
      </c>
      <c r="C5">
        <f t="shared" si="0"/>
        <v>907.97266995925975</v>
      </c>
      <c r="D5">
        <f t="shared" si="1"/>
        <v>22.173158187377506</v>
      </c>
      <c r="E5">
        <f t="shared" si="2"/>
        <v>892.29387944464304</v>
      </c>
      <c r="F5">
        <f t="shared" si="3"/>
        <v>923.65146047387634</v>
      </c>
      <c r="G5">
        <v>923.65146047387634</v>
      </c>
      <c r="H5">
        <v>892.29387944464304</v>
      </c>
    </row>
    <row r="6" spans="2:8" x14ac:dyDescent="0.45">
      <c r="B6">
        <v>180</v>
      </c>
      <c r="C6">
        <f t="shared" si="0"/>
        <v>1515.9722226252661</v>
      </c>
      <c r="D6">
        <f t="shared" si="1"/>
        <v>9.0266055411538435</v>
      </c>
      <c r="E6">
        <f t="shared" si="2"/>
        <v>1509.5894486360201</v>
      </c>
      <c r="F6">
        <f t="shared" si="3"/>
        <v>1522.3549966145119</v>
      </c>
      <c r="G6">
        <v>1522.3549966145119</v>
      </c>
      <c r="H6">
        <v>1509.5894486360201</v>
      </c>
    </row>
    <row r="7" spans="2:8" x14ac:dyDescent="0.45">
      <c r="B7">
        <v>300</v>
      </c>
      <c r="C7">
        <f t="shared" si="0"/>
        <v>2012.4043733254002</v>
      </c>
      <c r="D7">
        <f t="shared" si="1"/>
        <v>18.353453331160644</v>
      </c>
      <c r="E7">
        <f t="shared" si="2"/>
        <v>1999.4265220167456</v>
      </c>
      <c r="F7">
        <f t="shared" si="3"/>
        <v>2025.3822246340546</v>
      </c>
      <c r="G7">
        <v>1999.4265220167456</v>
      </c>
      <c r="H7">
        <v>2025.3822246340546</v>
      </c>
    </row>
    <row r="8" spans="2:8" x14ac:dyDescent="0.45">
      <c r="B8">
        <v>540</v>
      </c>
      <c r="C8">
        <f t="shared" si="0"/>
        <v>2545.9413486642025</v>
      </c>
      <c r="D8">
        <f t="shared" si="1"/>
        <v>6.2995430363525831</v>
      </c>
      <c r="E8">
        <f t="shared" si="2"/>
        <v>2541.486899064821</v>
      </c>
      <c r="F8">
        <f t="shared" si="3"/>
        <v>2550.3957982635839</v>
      </c>
      <c r="G8">
        <v>2541.486899064821</v>
      </c>
      <c r="H8">
        <v>2550.3957982635839</v>
      </c>
    </row>
    <row r="9" spans="2:8" x14ac:dyDescent="0.45">
      <c r="B9">
        <v>720</v>
      </c>
      <c r="C9">
        <f t="shared" si="0"/>
        <v>2741.0694906136696</v>
      </c>
      <c r="D9">
        <f t="shared" si="1"/>
        <v>0.50335850661753401</v>
      </c>
      <c r="E9">
        <f t="shared" si="2"/>
        <v>2740.7135624002726</v>
      </c>
      <c r="F9">
        <f t="shared" si="3"/>
        <v>2741.425418827067</v>
      </c>
      <c r="G9">
        <v>2740.7135624002726</v>
      </c>
      <c r="H9">
        <v>2741.425418827067</v>
      </c>
    </row>
    <row r="10" spans="2:8" x14ac:dyDescent="0.45">
      <c r="B10">
        <v>1440</v>
      </c>
      <c r="C10">
        <f t="shared" si="0"/>
        <v>2871.443133227308</v>
      </c>
      <c r="D10">
        <f t="shared" si="1"/>
        <v>9.5043497135012718</v>
      </c>
      <c r="E10">
        <f t="shared" si="2"/>
        <v>2864.722543094123</v>
      </c>
      <c r="F10">
        <f t="shared" si="3"/>
        <v>2878.1637233604933</v>
      </c>
      <c r="G10">
        <v>2878.1637233604933</v>
      </c>
      <c r="H10">
        <v>2864.722543094123</v>
      </c>
    </row>
    <row r="11" spans="2:8" x14ac:dyDescent="0.45">
      <c r="B11">
        <v>2160</v>
      </c>
      <c r="C11">
        <f t="shared" si="0"/>
        <v>2903.0527282762405</v>
      </c>
      <c r="D11">
        <f t="shared" si="1"/>
        <v>4.6750701336854412</v>
      </c>
      <c r="E11">
        <f t="shared" si="2"/>
        <v>2899.7469544821888</v>
      </c>
      <c r="F11">
        <f t="shared" si="3"/>
        <v>2906.3585020702922</v>
      </c>
      <c r="G11">
        <v>2906.3585020702922</v>
      </c>
      <c r="H11">
        <v>2899.7469544821888</v>
      </c>
    </row>
    <row r="12" spans="2:8" x14ac:dyDescent="0.45">
      <c r="B12">
        <v>2880</v>
      </c>
      <c r="C12">
        <f t="shared" si="0"/>
        <v>2964.0074973888832</v>
      </c>
      <c r="D12">
        <f t="shared" si="1"/>
        <v>24.673297276466197</v>
      </c>
      <c r="E12">
        <f t="shared" si="2"/>
        <v>2946.5608415704623</v>
      </c>
      <c r="F12">
        <f t="shared" si="3"/>
        <v>2981.454153207304</v>
      </c>
      <c r="G12">
        <v>2981.454153207304</v>
      </c>
      <c r="H12">
        <v>2946.5608415704623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Byunghwa Kang</dc:creator>
  <cp:lastModifiedBy>Byunghwa Kang</cp:lastModifiedBy>
  <dcterms:created xsi:type="dcterms:W3CDTF">2025-02-19T17:16:03Z</dcterms:created>
  <dcterms:modified xsi:type="dcterms:W3CDTF">2026-08-24T23:37:32Z</dcterms:modified>
</cp:coreProperties>
</file>